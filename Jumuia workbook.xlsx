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TechCamp\"/>
    </mc:Choice>
  </mc:AlternateContent>
  <xr:revisionPtr revIDLastSave="0" documentId="13_ncr:1_{F0D9D771-4FD6-401D-BF40-1C97F430FE56}" xr6:coauthVersionLast="47" xr6:coauthVersionMax="47" xr10:uidLastSave="{00000000-0000-0000-0000-000000000000}"/>
  <bookViews>
    <workbookView xWindow="-110" yWindow="-110" windowWidth="19420" windowHeight="10300" tabRatio="850" firstSheet="5" activeTab="14" xr2:uid="{985C3357-2B6A-436F-8E34-AD19799AFAC1}"/>
  </bookViews>
  <sheets>
    <sheet name="Users" sheetId="13" r:id="rId1"/>
    <sheet name="Branches" sheetId="1" r:id="rId2"/>
    <sheet name="Departments" sheetId="2" r:id="rId3"/>
    <sheet name="Employees" sheetId="3" r:id="rId4"/>
    <sheet name="Vendors" sheetId="5" r:id="rId5"/>
    <sheet name="Orders" sheetId="7" r:id="rId6"/>
    <sheet name="Orders_Details" sheetId="8" r:id="rId7"/>
    <sheet name="Stores" sheetId="4" r:id="rId8"/>
    <sheet name="Deliveries" sheetId="9" r:id="rId9"/>
    <sheet name="PU-Stations" sheetId="12" r:id="rId10"/>
    <sheet name="Payments" sheetId="15" r:id="rId11"/>
    <sheet name="Customers" sheetId="6" r:id="rId12"/>
    <sheet name="Categories" sheetId="11" r:id="rId13"/>
    <sheet name="Shipment" sheetId="14" r:id="rId14"/>
    <sheet name="Products" sheetId="10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8" l="1"/>
  <c r="H7" i="8"/>
  <c r="H6" i="8"/>
  <c r="H5" i="8"/>
  <c r="H4" i="8"/>
  <c r="H3" i="8"/>
  <c r="H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tc={5DD23E21-02D3-4EEB-83F8-ADFF343CB81E}</author>
  </authors>
  <commentList>
    <comment ref="D1" authorId="0" shapeId="0" xr:uid="{5DD23E21-02D3-4EEB-83F8-ADFF343CB81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that the name is in the user</t>
      </text>
    </comment>
  </commentList>
</comments>
</file>

<file path=xl/sharedStrings.xml><?xml version="1.0" encoding="utf-8"?>
<sst xmlns="http://schemas.openxmlformats.org/spreadsheetml/2006/main" count="262" uniqueCount="184">
  <si>
    <t>Branch_Id</t>
  </si>
  <si>
    <t>Name</t>
  </si>
  <si>
    <t>Address</t>
  </si>
  <si>
    <t>Telephone</t>
  </si>
  <si>
    <t>Email</t>
  </si>
  <si>
    <t>Nairobi</t>
  </si>
  <si>
    <t>Mombasa</t>
  </si>
  <si>
    <t>Nakuru</t>
  </si>
  <si>
    <t>Kisumu</t>
  </si>
  <si>
    <t>Eldoret</t>
  </si>
  <si>
    <t>9875-00200 Nairobi</t>
  </si>
  <si>
    <t>478215-00506 Mombasa</t>
  </si>
  <si>
    <t>421578-01892 Nakuru</t>
  </si>
  <si>
    <t>235987-00842 Kisumu</t>
  </si>
  <si>
    <t>558425-00568 Eldoret</t>
  </si>
  <si>
    <t>jumuia_Nairobi@gmail.com</t>
  </si>
  <si>
    <t>jumuia_Mombasa@gmail.com</t>
  </si>
  <si>
    <t>jumuia_Nakuru@gmail.com</t>
  </si>
  <si>
    <t>jumuia_Kisumu@gmail.com</t>
  </si>
  <si>
    <t>jumuia_Eldoret@gmail.com</t>
  </si>
  <si>
    <t>Department_Id</t>
  </si>
  <si>
    <t>Employee_Id</t>
  </si>
  <si>
    <t>ICT</t>
  </si>
  <si>
    <t>Accounts</t>
  </si>
  <si>
    <t>Sales</t>
  </si>
  <si>
    <t>Marketing</t>
  </si>
  <si>
    <t>Logisticts</t>
  </si>
  <si>
    <t>ID_Number</t>
  </si>
  <si>
    <t>John</t>
  </si>
  <si>
    <t>Peter</t>
  </si>
  <si>
    <t>Jane</t>
  </si>
  <si>
    <t>Alex</t>
  </si>
  <si>
    <t>Grace</t>
  </si>
  <si>
    <t>5248793-00200 Nairobi</t>
  </si>
  <si>
    <t>4215846-00487 Nairobi</t>
  </si>
  <si>
    <t>4578215-00688 Mombasa</t>
  </si>
  <si>
    <t>4218792-00506 Kilifi</t>
  </si>
  <si>
    <t>4714156-00100 Nairobi</t>
  </si>
  <si>
    <t>john@gmail.com</t>
  </si>
  <si>
    <t>alex@gmail.com</t>
  </si>
  <si>
    <t>grace@gmail.com</t>
  </si>
  <si>
    <t>Peter@gmail.com</t>
  </si>
  <si>
    <t>Jane@gmail.com</t>
  </si>
  <si>
    <t>Store_Id</t>
  </si>
  <si>
    <t>Store_Name</t>
  </si>
  <si>
    <t>Main store - Nairobi</t>
  </si>
  <si>
    <t>Main store - Mombasa</t>
  </si>
  <si>
    <t>Main store - Nakuru</t>
  </si>
  <si>
    <t>Main store - Kisumu</t>
  </si>
  <si>
    <t>Main store - Eldoret</t>
  </si>
  <si>
    <t>Vendor_Id</t>
  </si>
  <si>
    <t>44875-00200 Nairobi</t>
  </si>
  <si>
    <t>4215-00506 Mombasa</t>
  </si>
  <si>
    <t>445778-01892 Nakuru</t>
  </si>
  <si>
    <t>42158-00842 Kisumu</t>
  </si>
  <si>
    <t>4587-00568 Eldoret</t>
  </si>
  <si>
    <t>mainstore_Nairobi@gmail.com</t>
  </si>
  <si>
    <t>mainstore_Mombasa@gmail.com</t>
  </si>
  <si>
    <t>mainstore_Nakuru@gmail.com</t>
  </si>
  <si>
    <t>mainstore_Kisumu@gmail.com</t>
  </si>
  <si>
    <t>mainstore_Eldoret@gmail.com</t>
  </si>
  <si>
    <t>Cotton Enterprises Limited</t>
  </si>
  <si>
    <t>Mango Limited</t>
  </si>
  <si>
    <t>Textiles And allied Limited</t>
  </si>
  <si>
    <t>Johns Timber Limited</t>
  </si>
  <si>
    <t>Magi Autoworks Limited</t>
  </si>
  <si>
    <t>54875-00200 Nairobi</t>
  </si>
  <si>
    <t>65487-00506 Mombasa</t>
  </si>
  <si>
    <t>51478-01892 Nakuru</t>
  </si>
  <si>
    <t>25487-00842 Kisumu</t>
  </si>
  <si>
    <t>69875-00568 Eldoret</t>
  </si>
  <si>
    <t>Cotton@gmail.com</t>
  </si>
  <si>
    <t>Mango@gmail.com</t>
  </si>
  <si>
    <t>TAL@gmail.com</t>
  </si>
  <si>
    <t>JTL@gmail.com</t>
  </si>
  <si>
    <t>Magi@gmail.com</t>
  </si>
  <si>
    <t>Product _Id</t>
  </si>
  <si>
    <t>Category_Id</t>
  </si>
  <si>
    <t>Electronics</t>
  </si>
  <si>
    <t>Timber</t>
  </si>
  <si>
    <t>Vehicles</t>
  </si>
  <si>
    <t>Food</t>
  </si>
  <si>
    <t>Furniture</t>
  </si>
  <si>
    <t>Mercedes</t>
  </si>
  <si>
    <t>VolksWagen</t>
  </si>
  <si>
    <t>Piza</t>
  </si>
  <si>
    <t>Chapati</t>
  </si>
  <si>
    <t>Sofa set</t>
  </si>
  <si>
    <t>Type</t>
  </si>
  <si>
    <t>C200</t>
  </si>
  <si>
    <t>XW100</t>
  </si>
  <si>
    <t>Large</t>
  </si>
  <si>
    <t>Medium</t>
  </si>
  <si>
    <t>7 Seater</t>
  </si>
  <si>
    <t>Price</t>
  </si>
  <si>
    <t>Customer_Id</t>
  </si>
  <si>
    <t>Order_Id</t>
  </si>
  <si>
    <t>Ben</t>
  </si>
  <si>
    <t>Duncan</t>
  </si>
  <si>
    <t>54587-00200 Nairobi</t>
  </si>
  <si>
    <t>36598-00522 Kwale</t>
  </si>
  <si>
    <t>98654-00487 Nairobi</t>
  </si>
  <si>
    <t>52124-00688 Mombasa</t>
  </si>
  <si>
    <t>69587-00100 Nairobi</t>
  </si>
  <si>
    <t>ben@gmail.com</t>
  </si>
  <si>
    <t>duncan@gmail.com</t>
  </si>
  <si>
    <t>Order_Details_Id</t>
  </si>
  <si>
    <t>Delivery_Id</t>
  </si>
  <si>
    <t>PU-Stations</t>
  </si>
  <si>
    <t>date</t>
  </si>
  <si>
    <t>time</t>
  </si>
  <si>
    <t>Shipment_Id</t>
  </si>
  <si>
    <t>Branch_id</t>
  </si>
  <si>
    <t>PU_Station_Id</t>
  </si>
  <si>
    <t>Moi Avenue station</t>
  </si>
  <si>
    <t>Kenyatta Avenue station</t>
  </si>
  <si>
    <t>T-Mall station</t>
  </si>
  <si>
    <t>Uhuru Highway station</t>
  </si>
  <si>
    <t>Taveta Road station</t>
  </si>
  <si>
    <t>45876-00200 Nairobi</t>
  </si>
  <si>
    <t>4587-00506 Nairobi</t>
  </si>
  <si>
    <t>7845-01892 Nakuru</t>
  </si>
  <si>
    <t>66584-00842 Kisumu</t>
  </si>
  <si>
    <t>457868-00568 Eldoret</t>
  </si>
  <si>
    <t>moiavenue@gmail.com</t>
  </si>
  <si>
    <t>kenyatta_avenue@gmail.com</t>
  </si>
  <si>
    <t>tmall@gmail.com</t>
  </si>
  <si>
    <t>uhuru_highway@gmail.com</t>
  </si>
  <si>
    <t>taveta_road@gmail.com</t>
  </si>
  <si>
    <t>User_Id</t>
  </si>
  <si>
    <t>User_id</t>
  </si>
  <si>
    <t>phone</t>
  </si>
  <si>
    <t>password</t>
  </si>
  <si>
    <t>oaisbyd</t>
  </si>
  <si>
    <t>adfb</t>
  </si>
  <si>
    <t>wtbwtbwg</t>
  </si>
  <si>
    <t>wetbwetb</t>
  </si>
  <si>
    <t>wer</t>
  </si>
  <si>
    <t>bwerb</t>
  </si>
  <si>
    <t>werewrg</t>
  </si>
  <si>
    <t>aerwrth</t>
  </si>
  <si>
    <t>wetwrtbwr</t>
  </si>
  <si>
    <t>werber</t>
  </si>
  <si>
    <t>Location</t>
  </si>
  <si>
    <t>Capital Centre</t>
  </si>
  <si>
    <t>Taj mall</t>
  </si>
  <si>
    <t>Gilani House</t>
  </si>
  <si>
    <t>Mamba house</t>
  </si>
  <si>
    <t>DHL House</t>
  </si>
  <si>
    <t>Department_Name</t>
  </si>
  <si>
    <t>No_of_Employees</t>
  </si>
  <si>
    <t>Business_Name</t>
  </si>
  <si>
    <t>Employee_id</t>
  </si>
  <si>
    <t>Order_date</t>
  </si>
  <si>
    <t>Amount</t>
  </si>
  <si>
    <t>Status</t>
  </si>
  <si>
    <t>Delivered</t>
  </si>
  <si>
    <t>Quantity</t>
  </si>
  <si>
    <t>Moi Avenue</t>
  </si>
  <si>
    <t>Chambers plaza</t>
  </si>
  <si>
    <t>Lake plaza</t>
  </si>
  <si>
    <t>Bombo plaza</t>
  </si>
  <si>
    <t>John Plaza</t>
  </si>
  <si>
    <t>Store_id</t>
  </si>
  <si>
    <t>Mamba plaza</t>
  </si>
  <si>
    <t>Dondo plaza</t>
  </si>
  <si>
    <t>Capital centre</t>
  </si>
  <si>
    <t>Top plaza</t>
  </si>
  <si>
    <t>Payment_id</t>
  </si>
  <si>
    <t>Order_id</t>
  </si>
  <si>
    <t>Mode_of_payment</t>
  </si>
  <si>
    <t>Category_Name</t>
  </si>
  <si>
    <t>Description</t>
  </si>
  <si>
    <t>Product_Name</t>
  </si>
  <si>
    <t>Card</t>
  </si>
  <si>
    <t>Mpesa</t>
  </si>
  <si>
    <t>Cash</t>
  </si>
  <si>
    <t>Paid</t>
  </si>
  <si>
    <t>All electrical items</t>
  </si>
  <si>
    <t>Wood items</t>
  </si>
  <si>
    <t>All models of vehicles</t>
  </si>
  <si>
    <t>Edible items</t>
  </si>
  <si>
    <t>Wood and metal furniture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</si>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</sst>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m Gichimu" id="{E12C9123-5F8F-4DA5-8E6B-10FAC51D18D5}" userId="S::SGichimu@helb.co.ke::992c84d2-82e1-4495-95f3-f486206067d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2-16T12:07:01.09" personId="{E12C9123-5F8F-4DA5-8E6B-10FAC51D18D5}" id="{5DD23E21-02D3-4EEB-83F8-ADFF343CB81E}">
    <text>Note that the name is in the user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TL@gmail.com" TargetMode="External"/><Relationship Id="rId3" Type="http://schemas.openxmlformats.org/officeDocument/2006/relationships/hyperlink" Target="mailto:Mango@gmail.com" TargetMode="External"/><Relationship Id="rId7" Type="http://schemas.openxmlformats.org/officeDocument/2006/relationships/hyperlink" Target="mailto:TAL@gmail.com" TargetMode="External"/><Relationship Id="rId2" Type="http://schemas.openxmlformats.org/officeDocument/2006/relationships/hyperlink" Target="mailto:Jane@gmail.com" TargetMode="External"/><Relationship Id="rId1" Type="http://schemas.openxmlformats.org/officeDocument/2006/relationships/hyperlink" Target="mailto:Peter@gmail.com" TargetMode="External"/><Relationship Id="rId6" Type="http://schemas.openxmlformats.org/officeDocument/2006/relationships/hyperlink" Target="mailto:duncan@gmail.com" TargetMode="External"/><Relationship Id="rId5" Type="http://schemas.openxmlformats.org/officeDocument/2006/relationships/hyperlink" Target="mailto:ben@gmail.com" TargetMode="External"/><Relationship Id="rId4" Type="http://schemas.openxmlformats.org/officeDocument/2006/relationships/hyperlink" Target="mailto:Cotton@gmail.com" TargetMode="External"/><Relationship Id="rId9" Type="http://schemas.openxmlformats.org/officeDocument/2006/relationships/hyperlink" Target="mailto:Magi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umuia_Kisumu@gmail.com" TargetMode="External"/><Relationship Id="rId2" Type="http://schemas.openxmlformats.org/officeDocument/2006/relationships/hyperlink" Target="mailto:jumuia_Nakuru@gmail.com" TargetMode="External"/><Relationship Id="rId1" Type="http://schemas.openxmlformats.org/officeDocument/2006/relationships/hyperlink" Target="mailto:jumuia_Mombasa@gmail.com" TargetMode="External"/><Relationship Id="rId4" Type="http://schemas.openxmlformats.org/officeDocument/2006/relationships/hyperlink" Target="mailto:jumuia_Eldoret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lex@gmail.com" TargetMode="External"/><Relationship Id="rId2" Type="http://schemas.openxmlformats.org/officeDocument/2006/relationships/hyperlink" Target="mailto:Jane@gmail.com" TargetMode="External"/><Relationship Id="rId1" Type="http://schemas.openxmlformats.org/officeDocument/2006/relationships/hyperlink" Target="mailto:Peter@gmail.com" TargetMode="External"/><Relationship Id="rId4" Type="http://schemas.openxmlformats.org/officeDocument/2006/relationships/hyperlink" Target="mailto:grace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mailto:JTL@gmail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TAL@gmail.com" TargetMode="External"/><Relationship Id="rId1" Type="http://schemas.openxmlformats.org/officeDocument/2006/relationships/hyperlink" Target="mailto:Mango@gmail.com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Cotton@gmail.com" TargetMode="External"/><Relationship Id="rId4" Type="http://schemas.openxmlformats.org/officeDocument/2006/relationships/hyperlink" Target="mailto:Magi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jumuia_Kisumu@gmail.com" TargetMode="External"/><Relationship Id="rId2" Type="http://schemas.openxmlformats.org/officeDocument/2006/relationships/hyperlink" Target="mailto:jumuia_Nakuru@gmail.com" TargetMode="External"/><Relationship Id="rId1" Type="http://schemas.openxmlformats.org/officeDocument/2006/relationships/hyperlink" Target="mailto:jumuia_Mombasa@gmail.com" TargetMode="External"/><Relationship Id="rId4" Type="http://schemas.openxmlformats.org/officeDocument/2006/relationships/hyperlink" Target="mailto:jumuia_Eldoret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uhuru_highway@gmail.com" TargetMode="External"/><Relationship Id="rId2" Type="http://schemas.openxmlformats.org/officeDocument/2006/relationships/hyperlink" Target="mailto:tmall@gmail.com" TargetMode="External"/><Relationship Id="rId1" Type="http://schemas.openxmlformats.org/officeDocument/2006/relationships/hyperlink" Target="mailto:kenyatta_avenue@gmail.com" TargetMode="External"/><Relationship Id="rId5" Type="http://schemas.openxmlformats.org/officeDocument/2006/relationships/hyperlink" Target="mailto:moiavenue@gmail.com" TargetMode="External"/><Relationship Id="rId4" Type="http://schemas.openxmlformats.org/officeDocument/2006/relationships/hyperlink" Target="mailto:taveta_ro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9EBE-A643-4D58-B92A-6B798A310648}">
  <dimension ref="A1:E11"/>
  <sheetViews>
    <sheetView workbookViewId="0"/>
  </sheetViews>
  <sheetFormatPr defaultRowHeight="14.5" x14ac:dyDescent="0.35"/>
  <cols>
    <col min="1" max="1" width="6.90625" bestFit="1" customWidth="1"/>
    <col min="2" max="2" width="22.54296875" bestFit="1" customWidth="1"/>
    <col min="3" max="3" width="9.1796875" bestFit="1" customWidth="1"/>
    <col min="4" max="4" width="9.81640625" bestFit="1" customWidth="1"/>
    <col min="5" max="5" width="17.08984375" bestFit="1" customWidth="1"/>
  </cols>
  <sheetData>
    <row r="1" spans="1:5" x14ac:dyDescent="0.35">
      <c r="A1" t="s">
        <v>129</v>
      </c>
      <c r="B1" t="s">
        <v>1</v>
      </c>
      <c r="C1" t="s">
        <v>132</v>
      </c>
      <c r="D1" t="s">
        <v>131</v>
      </c>
      <c r="E1" t="s">
        <v>4</v>
      </c>
    </row>
    <row r="2" spans="1:5" x14ac:dyDescent="0.35">
      <c r="A2">
        <v>1</v>
      </c>
      <c r="B2" t="s">
        <v>28</v>
      </c>
      <c r="C2" t="s">
        <v>133</v>
      </c>
      <c r="D2">
        <v>726727539</v>
      </c>
      <c r="E2" s="1" t="s">
        <v>38</v>
      </c>
    </row>
    <row r="3" spans="1:5" x14ac:dyDescent="0.35">
      <c r="A3">
        <v>2</v>
      </c>
      <c r="B3" t="s">
        <v>29</v>
      </c>
      <c r="C3" t="s">
        <v>134</v>
      </c>
      <c r="D3">
        <v>727797310</v>
      </c>
      <c r="E3" s="1" t="s">
        <v>41</v>
      </c>
    </row>
    <row r="4" spans="1:5" x14ac:dyDescent="0.35">
      <c r="A4">
        <v>3</v>
      </c>
      <c r="B4" t="s">
        <v>30</v>
      </c>
      <c r="C4" t="s">
        <v>135</v>
      </c>
      <c r="D4">
        <v>725022701</v>
      </c>
      <c r="E4" s="1" t="s">
        <v>42</v>
      </c>
    </row>
    <row r="5" spans="1:5" x14ac:dyDescent="0.35">
      <c r="A5">
        <v>4</v>
      </c>
      <c r="B5" t="s">
        <v>61</v>
      </c>
      <c r="C5" t="s">
        <v>136</v>
      </c>
      <c r="D5">
        <v>725492972</v>
      </c>
      <c r="E5" s="1" t="s">
        <v>71</v>
      </c>
    </row>
    <row r="6" spans="1:5" x14ac:dyDescent="0.35">
      <c r="A6">
        <v>5</v>
      </c>
      <c r="B6" t="s">
        <v>62</v>
      </c>
      <c r="C6" t="s">
        <v>137</v>
      </c>
      <c r="D6">
        <v>726562743</v>
      </c>
      <c r="E6" s="1" t="s">
        <v>72</v>
      </c>
    </row>
    <row r="7" spans="1:5" x14ac:dyDescent="0.35">
      <c r="A7">
        <v>6</v>
      </c>
      <c r="B7" t="s">
        <v>97</v>
      </c>
      <c r="C7" t="s">
        <v>138</v>
      </c>
      <c r="D7">
        <v>725261596</v>
      </c>
      <c r="E7" s="1" t="s">
        <v>104</v>
      </c>
    </row>
    <row r="8" spans="1:5" x14ac:dyDescent="0.35">
      <c r="A8">
        <v>7</v>
      </c>
      <c r="B8" t="s">
        <v>98</v>
      </c>
      <c r="C8" t="s">
        <v>140</v>
      </c>
      <c r="D8">
        <v>727274958</v>
      </c>
      <c r="E8" s="1" t="s">
        <v>105</v>
      </c>
    </row>
    <row r="9" spans="1:5" x14ac:dyDescent="0.35">
      <c r="A9">
        <v>8</v>
      </c>
      <c r="B9" t="s">
        <v>63</v>
      </c>
      <c r="C9" t="s">
        <v>139</v>
      </c>
      <c r="D9">
        <v>723788134</v>
      </c>
      <c r="E9" s="1" t="s">
        <v>73</v>
      </c>
    </row>
    <row r="10" spans="1:5" x14ac:dyDescent="0.35">
      <c r="A10">
        <v>9</v>
      </c>
      <c r="B10" t="s">
        <v>64</v>
      </c>
      <c r="C10" t="s">
        <v>141</v>
      </c>
      <c r="D10">
        <v>722792462</v>
      </c>
      <c r="E10" s="1" t="s">
        <v>74</v>
      </c>
    </row>
    <row r="11" spans="1:5" x14ac:dyDescent="0.35">
      <c r="A11">
        <v>10</v>
      </c>
      <c r="B11" t="s">
        <v>65</v>
      </c>
      <c r="C11" t="s">
        <v>142</v>
      </c>
      <c r="D11">
        <v>724805824</v>
      </c>
      <c r="E11" s="1" t="s">
        <v>75</v>
      </c>
    </row>
  </sheetData>
  <hyperlinks>
    <hyperlink ref="E3" r:id="rId1" xr:uid="{4B6E5503-A243-47CA-A6C2-307754575DBC}"/>
    <hyperlink ref="E4" r:id="rId2" xr:uid="{006C46CF-1BEA-4C6A-9927-6268412053C5}"/>
    <hyperlink ref="E6" r:id="rId3" xr:uid="{962C528F-8F29-4C0F-9FB2-B50AC8C5515F}"/>
    <hyperlink ref="E5" r:id="rId4" xr:uid="{F916032F-9D99-4F9A-B03F-88CFB240621F}"/>
    <hyperlink ref="E7" r:id="rId5" xr:uid="{E8660ACE-57AA-4E70-AA7E-D7A7C8B1641E}"/>
    <hyperlink ref="E8" r:id="rId6" xr:uid="{99E7B0A2-27D4-4576-89BE-CCC3455C28E7}"/>
    <hyperlink ref="E9" r:id="rId7" xr:uid="{82159530-2650-4643-82B3-535C7DD40F5C}"/>
    <hyperlink ref="E10" r:id="rId8" xr:uid="{E3336A3D-E3E2-48ED-90E1-08AF43D719F7}"/>
    <hyperlink ref="E11" r:id="rId9" xr:uid="{8122005E-2EBA-4A88-B0A9-D73124B251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4742-882F-495C-8844-BC884C251A8F}">
  <dimension ref="A1:F6"/>
  <sheetViews>
    <sheetView workbookViewId="0"/>
  </sheetViews>
  <sheetFormatPr defaultRowHeight="14.5" x14ac:dyDescent="0.35"/>
  <cols>
    <col min="1" max="1" width="8.81640625" bestFit="1" customWidth="1"/>
    <col min="2" max="2" width="8.7265625" bestFit="1" customWidth="1"/>
    <col min="3" max="3" width="12.54296875" bestFit="1" customWidth="1"/>
    <col min="4" max="4" width="20.90625" bestFit="1" customWidth="1"/>
    <col min="5" max="5" width="9.81640625" bestFit="1" customWidth="1"/>
    <col min="6" max="6" width="25.453125" bestFit="1" customWidth="1"/>
  </cols>
  <sheetData>
    <row r="1" spans="1:6" x14ac:dyDescent="0.35">
      <c r="A1" t="s">
        <v>0</v>
      </c>
      <c r="B1" t="s">
        <v>1</v>
      </c>
      <c r="C1" t="s">
        <v>143</v>
      </c>
      <c r="D1" t="s">
        <v>2</v>
      </c>
      <c r="E1" t="s">
        <v>3</v>
      </c>
      <c r="F1" t="s">
        <v>4</v>
      </c>
    </row>
    <row r="2" spans="1:6" x14ac:dyDescent="0.35">
      <c r="A2">
        <v>1</v>
      </c>
      <c r="B2" t="s">
        <v>5</v>
      </c>
      <c r="C2" t="s">
        <v>144</v>
      </c>
      <c r="D2" t="s">
        <v>10</v>
      </c>
      <c r="E2">
        <v>725689541</v>
      </c>
      <c r="F2" s="1" t="s">
        <v>15</v>
      </c>
    </row>
    <row r="3" spans="1:6" x14ac:dyDescent="0.35">
      <c r="A3">
        <v>2</v>
      </c>
      <c r="B3" t="s">
        <v>6</v>
      </c>
      <c r="C3" t="s">
        <v>145</v>
      </c>
      <c r="D3" t="s">
        <v>11</v>
      </c>
      <c r="E3">
        <v>725325864</v>
      </c>
      <c r="F3" s="1" t="s">
        <v>16</v>
      </c>
    </row>
    <row r="4" spans="1:6" x14ac:dyDescent="0.35">
      <c r="A4">
        <v>3</v>
      </c>
      <c r="B4" t="s">
        <v>7</v>
      </c>
      <c r="C4" t="s">
        <v>146</v>
      </c>
      <c r="D4" t="s">
        <v>12</v>
      </c>
      <c r="E4">
        <v>722551255</v>
      </c>
      <c r="F4" s="1" t="s">
        <v>17</v>
      </c>
    </row>
    <row r="5" spans="1:6" x14ac:dyDescent="0.35">
      <c r="A5">
        <v>4</v>
      </c>
      <c r="B5" t="s">
        <v>8</v>
      </c>
      <c r="C5" t="s">
        <v>147</v>
      </c>
      <c r="D5" t="s">
        <v>13</v>
      </c>
      <c r="E5">
        <v>721555583</v>
      </c>
      <c r="F5" s="1" t="s">
        <v>18</v>
      </c>
    </row>
    <row r="6" spans="1:6" x14ac:dyDescent="0.35">
      <c r="A6">
        <v>5</v>
      </c>
      <c r="B6" t="s">
        <v>9</v>
      </c>
      <c r="C6" t="s">
        <v>148</v>
      </c>
      <c r="D6" t="s">
        <v>14</v>
      </c>
      <c r="E6">
        <v>723568945</v>
      </c>
      <c r="F6" s="1" t="s">
        <v>19</v>
      </c>
    </row>
  </sheetData>
  <hyperlinks>
    <hyperlink ref="F3" r:id="rId1" xr:uid="{2CE0439C-F93E-4ECF-B754-49AB9EF0C246}"/>
    <hyperlink ref="F4" r:id="rId2" xr:uid="{23700DD1-91B0-4FB6-9FE2-E1CA65290316}"/>
    <hyperlink ref="F5" r:id="rId3" xr:uid="{D0A318A3-841C-424C-A1A7-1A2A5F24B2B2}"/>
    <hyperlink ref="F6" r:id="rId4" xr:uid="{42DBD586-D500-48A9-BC52-814DF6AC500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EE73-FB67-4705-9B91-BD07074FF720}">
  <dimension ref="A1:D6"/>
  <sheetViews>
    <sheetView workbookViewId="0"/>
  </sheetViews>
  <sheetFormatPr defaultRowHeight="14.5" x14ac:dyDescent="0.35"/>
  <cols>
    <col min="1" max="1" width="12.90625" bestFit="1" customWidth="1"/>
    <col min="2" max="2" width="8.81640625" bestFit="1" customWidth="1"/>
    <col min="3" max="3" width="16.26953125" bestFit="1" customWidth="1"/>
    <col min="4" max="4" width="15.08984375" bestFit="1" customWidth="1"/>
  </cols>
  <sheetData>
    <row r="1" spans="1:4" x14ac:dyDescent="0.35">
      <c r="A1" t="s">
        <v>20</v>
      </c>
      <c r="B1" t="s">
        <v>112</v>
      </c>
      <c r="C1" t="s">
        <v>149</v>
      </c>
      <c r="D1" t="s">
        <v>150</v>
      </c>
    </row>
    <row r="2" spans="1:4" x14ac:dyDescent="0.35">
      <c r="A2">
        <v>1</v>
      </c>
      <c r="B2">
        <v>1</v>
      </c>
      <c r="C2" t="s">
        <v>22</v>
      </c>
      <c r="D2">
        <v>2</v>
      </c>
    </row>
    <row r="3" spans="1:4" x14ac:dyDescent="0.35">
      <c r="A3">
        <v>2</v>
      </c>
      <c r="B3">
        <v>1</v>
      </c>
      <c r="C3" t="s">
        <v>23</v>
      </c>
      <c r="D3">
        <v>4</v>
      </c>
    </row>
    <row r="4" spans="1:4" x14ac:dyDescent="0.35">
      <c r="A4">
        <v>3</v>
      </c>
      <c r="B4">
        <v>1</v>
      </c>
      <c r="C4" t="s">
        <v>24</v>
      </c>
      <c r="D4">
        <v>3</v>
      </c>
    </row>
    <row r="5" spans="1:4" x14ac:dyDescent="0.35">
      <c r="A5">
        <v>4</v>
      </c>
      <c r="B5">
        <v>1</v>
      </c>
      <c r="C5" t="s">
        <v>25</v>
      </c>
      <c r="D5">
        <v>10</v>
      </c>
    </row>
    <row r="6" spans="1:4" x14ac:dyDescent="0.35">
      <c r="A6">
        <v>5</v>
      </c>
      <c r="B6">
        <v>2</v>
      </c>
      <c r="C6" t="s">
        <v>26</v>
      </c>
      <c r="D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677B-3FA2-49E7-895D-9A8A8D22C159}">
  <dimension ref="A1:G6"/>
  <sheetViews>
    <sheetView workbookViewId="0"/>
  </sheetViews>
  <sheetFormatPr defaultRowHeight="14.5" x14ac:dyDescent="0.35"/>
  <cols>
    <col min="1" max="1" width="10.90625" bestFit="1" customWidth="1"/>
    <col min="2" max="2" width="12.90625" bestFit="1" customWidth="1"/>
    <col min="3" max="3" width="9.81640625" bestFit="1" customWidth="1"/>
    <col min="4" max="4" width="5.7265625" bestFit="1" customWidth="1"/>
    <col min="5" max="5" width="9.81640625" bestFit="1" customWidth="1"/>
    <col min="6" max="6" width="22" bestFit="1" customWidth="1"/>
    <col min="7" max="7" width="15.54296875" bestFit="1" customWidth="1"/>
  </cols>
  <sheetData>
    <row r="1" spans="1:7" x14ac:dyDescent="0.35">
      <c r="A1" t="s">
        <v>21</v>
      </c>
      <c r="B1" t="s">
        <v>20</v>
      </c>
      <c r="C1" t="s">
        <v>27</v>
      </c>
      <c r="D1" t="s">
        <v>1</v>
      </c>
      <c r="E1" t="s">
        <v>3</v>
      </c>
      <c r="F1" t="s">
        <v>2</v>
      </c>
      <c r="G1" t="s">
        <v>4</v>
      </c>
    </row>
    <row r="2" spans="1:7" x14ac:dyDescent="0.35">
      <c r="A2">
        <v>1</v>
      </c>
      <c r="B2">
        <v>1</v>
      </c>
      <c r="C2">
        <v>4568215</v>
      </c>
      <c r="D2" t="s">
        <v>28</v>
      </c>
      <c r="E2">
        <v>726727539</v>
      </c>
      <c r="F2" t="s">
        <v>33</v>
      </c>
      <c r="G2" s="1" t="s">
        <v>38</v>
      </c>
    </row>
    <row r="3" spans="1:7" x14ac:dyDescent="0.35">
      <c r="A3">
        <v>2</v>
      </c>
      <c r="B3">
        <v>3</v>
      </c>
      <c r="C3">
        <v>2545879</v>
      </c>
      <c r="D3" t="s">
        <v>29</v>
      </c>
      <c r="E3">
        <v>727797310</v>
      </c>
      <c r="F3" t="s">
        <v>36</v>
      </c>
      <c r="G3" s="1" t="s">
        <v>41</v>
      </c>
    </row>
    <row r="4" spans="1:7" x14ac:dyDescent="0.35">
      <c r="A4">
        <v>3</v>
      </c>
      <c r="B4">
        <v>3</v>
      </c>
      <c r="C4">
        <v>7852254</v>
      </c>
      <c r="D4" t="s">
        <v>30</v>
      </c>
      <c r="E4">
        <v>725022701</v>
      </c>
      <c r="F4" t="s">
        <v>34</v>
      </c>
      <c r="G4" s="1" t="s">
        <v>42</v>
      </c>
    </row>
    <row r="5" spans="1:7" x14ac:dyDescent="0.35">
      <c r="A5">
        <v>4</v>
      </c>
      <c r="B5">
        <v>4</v>
      </c>
      <c r="C5">
        <v>7215425</v>
      </c>
      <c r="D5" t="s">
        <v>31</v>
      </c>
      <c r="E5">
        <v>724027029</v>
      </c>
      <c r="F5" t="s">
        <v>35</v>
      </c>
      <c r="G5" s="1" t="s">
        <v>39</v>
      </c>
    </row>
    <row r="6" spans="1:7" x14ac:dyDescent="0.35">
      <c r="A6">
        <v>5</v>
      </c>
      <c r="B6">
        <v>4</v>
      </c>
      <c r="C6">
        <v>2678524</v>
      </c>
      <c r="D6" t="s">
        <v>32</v>
      </c>
      <c r="E6">
        <v>726040391</v>
      </c>
      <c r="F6" t="s">
        <v>37</v>
      </c>
      <c r="G6" s="1" t="s">
        <v>40</v>
      </c>
    </row>
  </sheetData>
  <hyperlinks>
    <hyperlink ref="G3" r:id="rId1" xr:uid="{C1F26B55-F68F-470D-9423-98A8D1BC9478}"/>
    <hyperlink ref="G4" r:id="rId2" xr:uid="{9B0F2263-3519-4C1E-B7CE-06B9D8F5C02A}"/>
    <hyperlink ref="G5" r:id="rId3" xr:uid="{24B5FF51-6DFA-4951-AABC-45DD1CCC3454}"/>
    <hyperlink ref="G6" r:id="rId4" xr:uid="{F381237E-F0BE-4D2E-A46B-A25C3C1C759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7CDE-7032-4A4D-A518-489F30A921BA}">
  <dimension ref="A1:G6"/>
  <sheetViews>
    <sheetView workbookViewId="0">
      <selection activeCell="E16" sqref="E16"/>
    </sheetView>
  </sheetViews>
  <sheetFormatPr defaultRowHeight="14.5" x14ac:dyDescent="0.35"/>
  <cols>
    <col min="1" max="1" width="8.81640625" bestFit="1" customWidth="1"/>
    <col min="2" max="2" width="8.81640625" customWidth="1"/>
    <col min="3" max="3" width="7.36328125" bestFit="1" customWidth="1"/>
    <col min="4" max="4" width="22.54296875" bestFit="1" customWidth="1"/>
    <col min="5" max="5" width="9.81640625" bestFit="1" customWidth="1"/>
    <col min="6" max="6" width="19.90625" bestFit="1" customWidth="1"/>
    <col min="7" max="7" width="25.453125" bestFit="1" customWidth="1"/>
  </cols>
  <sheetData>
    <row r="1" spans="1:7" x14ac:dyDescent="0.35">
      <c r="A1" t="s">
        <v>50</v>
      </c>
      <c r="B1" t="s">
        <v>130</v>
      </c>
      <c r="C1" t="s">
        <v>43</v>
      </c>
      <c r="D1" t="s">
        <v>151</v>
      </c>
      <c r="E1" t="s">
        <v>3</v>
      </c>
      <c r="F1" t="s">
        <v>2</v>
      </c>
      <c r="G1" t="s">
        <v>4</v>
      </c>
    </row>
    <row r="2" spans="1:7" x14ac:dyDescent="0.35">
      <c r="A2">
        <v>1</v>
      </c>
      <c r="B2">
        <v>4</v>
      </c>
      <c r="C2">
        <v>1</v>
      </c>
      <c r="D2" t="s">
        <v>61</v>
      </c>
      <c r="E2">
        <v>725492972</v>
      </c>
      <c r="F2" t="s">
        <v>66</v>
      </c>
      <c r="G2" s="1" t="s">
        <v>71</v>
      </c>
    </row>
    <row r="3" spans="1:7" x14ac:dyDescent="0.35">
      <c r="A3">
        <v>2</v>
      </c>
      <c r="B3">
        <v>5</v>
      </c>
      <c r="C3">
        <v>2</v>
      </c>
      <c r="D3" t="s">
        <v>62</v>
      </c>
      <c r="E3">
        <v>726562743</v>
      </c>
      <c r="F3" t="s">
        <v>67</v>
      </c>
      <c r="G3" s="1" t="s">
        <v>72</v>
      </c>
    </row>
    <row r="4" spans="1:7" x14ac:dyDescent="0.35">
      <c r="A4">
        <v>3</v>
      </c>
      <c r="B4">
        <v>8</v>
      </c>
      <c r="C4">
        <v>2</v>
      </c>
      <c r="D4" t="s">
        <v>63</v>
      </c>
      <c r="E4">
        <v>723788134</v>
      </c>
      <c r="F4" t="s">
        <v>68</v>
      </c>
      <c r="G4" s="1" t="s">
        <v>73</v>
      </c>
    </row>
    <row r="5" spans="1:7" x14ac:dyDescent="0.35">
      <c r="A5">
        <v>4</v>
      </c>
      <c r="B5">
        <v>9</v>
      </c>
      <c r="C5">
        <v>3</v>
      </c>
      <c r="D5" t="s">
        <v>64</v>
      </c>
      <c r="E5">
        <v>722792462</v>
      </c>
      <c r="F5" t="s">
        <v>69</v>
      </c>
      <c r="G5" s="1" t="s">
        <v>74</v>
      </c>
    </row>
    <row r="6" spans="1:7" x14ac:dyDescent="0.35">
      <c r="A6">
        <v>5</v>
      </c>
      <c r="B6">
        <v>10</v>
      </c>
      <c r="C6">
        <v>3</v>
      </c>
      <c r="D6" t="s">
        <v>65</v>
      </c>
      <c r="E6">
        <v>724805824</v>
      </c>
      <c r="F6" t="s">
        <v>70</v>
      </c>
      <c r="G6" s="1" t="s">
        <v>75</v>
      </c>
    </row>
  </sheetData>
  <hyperlinks>
    <hyperlink ref="G3" r:id="rId1" xr:uid="{C19845F6-28D8-4CF7-8380-4E3496D78F29}"/>
    <hyperlink ref="G4" r:id="rId2" xr:uid="{9B9930FD-8BD7-4B57-A755-A456A09F856F}"/>
    <hyperlink ref="G5" r:id="rId3" xr:uid="{05CEF1A0-932F-4974-AA2E-69C422C2F2A0}"/>
    <hyperlink ref="G6" r:id="rId4" xr:uid="{320D4A66-586C-43B7-9E2F-796FE7C86E73}"/>
    <hyperlink ref="G2" r:id="rId5" xr:uid="{E302E609-EA9A-4410-94EF-F07F0E6D4467}"/>
  </hyperlinks>
  <pageMargins left="0.7" right="0.7" top="0.75" bottom="0.75" header="0.3" footer="0.3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EC12-4A5E-467C-BE4B-6C6D9AF7D6B1}">
  <dimension ref="A1:G6"/>
  <sheetViews>
    <sheetView workbookViewId="0">
      <selection activeCell="A4" sqref="A4"/>
    </sheetView>
  </sheetViews>
  <sheetFormatPr defaultRowHeight="14.5" x14ac:dyDescent="0.35"/>
  <cols>
    <col min="1" max="1" width="7.7265625" bestFit="1" customWidth="1"/>
    <col min="2" max="2" width="11.08984375" bestFit="1" customWidth="1"/>
    <col min="3" max="3" width="10.90625" bestFit="1" customWidth="1"/>
    <col min="4" max="4" width="8.81640625" bestFit="1" customWidth="1"/>
    <col min="5" max="5" width="9.90625" style="2" bestFit="1" customWidth="1"/>
    <col min="6" max="6" width="11.90625" bestFit="1" customWidth="1"/>
    <col min="7" max="7" width="8.453125" bestFit="1" customWidth="1"/>
  </cols>
  <sheetData>
    <row r="1" spans="1:7" x14ac:dyDescent="0.35">
      <c r="A1" t="s">
        <v>96</v>
      </c>
      <c r="B1" t="s">
        <v>95</v>
      </c>
      <c r="C1" t="s">
        <v>152</v>
      </c>
      <c r="D1" t="s">
        <v>0</v>
      </c>
      <c r="E1" s="2" t="s">
        <v>153</v>
      </c>
      <c r="F1" t="s">
        <v>183</v>
      </c>
      <c r="G1" t="s">
        <v>155</v>
      </c>
    </row>
    <row r="2" spans="1:7" x14ac:dyDescent="0.35">
      <c r="A2">
        <v>1</v>
      </c>
      <c r="B2">
        <v>5</v>
      </c>
      <c r="C2">
        <v>1</v>
      </c>
      <c r="D2">
        <v>3</v>
      </c>
      <c r="E2" s="2">
        <v>46055</v>
      </c>
      <c r="F2">
        <v>1501000</v>
      </c>
      <c r="G2" t="s">
        <v>156</v>
      </c>
    </row>
    <row r="3" spans="1:7" x14ac:dyDescent="0.35">
      <c r="A3">
        <v>2</v>
      </c>
      <c r="B3">
        <v>4</v>
      </c>
      <c r="C3">
        <v>1</v>
      </c>
      <c r="D3">
        <v>2</v>
      </c>
      <c r="E3" s="2">
        <v>46058</v>
      </c>
      <c r="F3">
        <v>2001500</v>
      </c>
      <c r="G3" t="s">
        <v>156</v>
      </c>
    </row>
    <row r="4" spans="1:7" x14ac:dyDescent="0.35">
      <c r="A4">
        <v>3</v>
      </c>
      <c r="B4">
        <v>2</v>
      </c>
      <c r="C4">
        <v>2</v>
      </c>
      <c r="D4">
        <v>3</v>
      </c>
      <c r="E4" s="2">
        <v>46063</v>
      </c>
      <c r="F4">
        <v>1500000</v>
      </c>
      <c r="G4" t="s">
        <v>156</v>
      </c>
    </row>
    <row r="5" spans="1:7" x14ac:dyDescent="0.35">
      <c r="A5">
        <v>4</v>
      </c>
      <c r="B5">
        <v>1</v>
      </c>
      <c r="C5">
        <v>2</v>
      </c>
      <c r="D5">
        <v>4</v>
      </c>
      <c r="E5" s="2">
        <v>46064</v>
      </c>
      <c r="F5">
        <v>2200</v>
      </c>
      <c r="G5" t="s">
        <v>156</v>
      </c>
    </row>
    <row r="6" spans="1:7" x14ac:dyDescent="0.35">
      <c r="A6">
        <v>5</v>
      </c>
      <c r="B6">
        <v>3</v>
      </c>
      <c r="C6">
        <v>3</v>
      </c>
      <c r="D6">
        <v>5</v>
      </c>
      <c r="E6" s="2">
        <v>46065</v>
      </c>
      <c r="F6">
        <v>2500</v>
      </c>
      <c r="G6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B220-EE29-4B21-9554-7608D27FBE38}">
  <dimension ref="A1:H8"/>
  <sheetViews>
    <sheetView workbookViewId="0">
      <selection activeCell="H2" sqref="H2"/>
    </sheetView>
  </sheetViews>
  <sheetFormatPr defaultRowHeight="14.5" x14ac:dyDescent="0.35"/>
  <cols>
    <col min="1" max="1" width="14.36328125" bestFit="1" customWidth="1"/>
    <col min="2" max="2" width="7.7265625" bestFit="1" customWidth="1"/>
    <col min="3" max="3" width="9.81640625" bestFit="1" customWidth="1"/>
    <col min="4" max="4" width="9.81640625" customWidth="1"/>
    <col min="5" max="5" width="10.7265625" bestFit="1" customWidth="1"/>
    <col min="6" max="6" width="7.26953125" bestFit="1" customWidth="1"/>
    <col min="7" max="8" width="7.81640625" bestFit="1" customWidth="1"/>
  </cols>
  <sheetData>
    <row r="1" spans="1:8" x14ac:dyDescent="0.35">
      <c r="A1" t="s">
        <v>106</v>
      </c>
      <c r="B1" t="s">
        <v>96</v>
      </c>
      <c r="C1" t="s">
        <v>76</v>
      </c>
      <c r="D1" t="s">
        <v>157</v>
      </c>
      <c r="E1" t="s">
        <v>1</v>
      </c>
      <c r="F1" t="s">
        <v>88</v>
      </c>
      <c r="G1" t="s">
        <v>94</v>
      </c>
      <c r="H1" t="s">
        <v>154</v>
      </c>
    </row>
    <row r="2" spans="1:8" x14ac:dyDescent="0.35">
      <c r="A2">
        <v>1</v>
      </c>
      <c r="B2">
        <v>1</v>
      </c>
      <c r="C2">
        <v>4</v>
      </c>
      <c r="D2">
        <v>2</v>
      </c>
      <c r="E2" t="s">
        <v>85</v>
      </c>
      <c r="F2" t="s">
        <v>91</v>
      </c>
      <c r="G2">
        <v>500</v>
      </c>
      <c r="H2">
        <f>G2*D2</f>
        <v>1000</v>
      </c>
    </row>
    <row r="3" spans="1:8" x14ac:dyDescent="0.35">
      <c r="A3">
        <v>2</v>
      </c>
      <c r="B3">
        <v>1</v>
      </c>
      <c r="C3">
        <v>2</v>
      </c>
      <c r="D3">
        <v>1</v>
      </c>
      <c r="E3" t="s">
        <v>84</v>
      </c>
      <c r="F3" t="s">
        <v>90</v>
      </c>
      <c r="G3">
        <v>1500000</v>
      </c>
      <c r="H3">
        <f t="shared" ref="H3:H8" si="0">G3*D3</f>
        <v>1500000</v>
      </c>
    </row>
    <row r="4" spans="1:8" x14ac:dyDescent="0.35">
      <c r="A4">
        <v>3</v>
      </c>
      <c r="B4">
        <v>2</v>
      </c>
      <c r="C4">
        <v>1</v>
      </c>
      <c r="D4">
        <v>1</v>
      </c>
      <c r="E4" t="s">
        <v>83</v>
      </c>
      <c r="F4" t="s">
        <v>89</v>
      </c>
      <c r="G4">
        <v>2000000</v>
      </c>
      <c r="H4">
        <f t="shared" si="0"/>
        <v>2000000</v>
      </c>
    </row>
    <row r="5" spans="1:8" x14ac:dyDescent="0.35">
      <c r="A5">
        <v>4</v>
      </c>
      <c r="B5">
        <v>2</v>
      </c>
      <c r="C5">
        <v>3</v>
      </c>
      <c r="D5">
        <v>15</v>
      </c>
      <c r="E5" t="s">
        <v>86</v>
      </c>
      <c r="F5" t="s">
        <v>92</v>
      </c>
      <c r="G5">
        <v>100</v>
      </c>
      <c r="H5">
        <f t="shared" si="0"/>
        <v>1500</v>
      </c>
    </row>
    <row r="6" spans="1:8" x14ac:dyDescent="0.35">
      <c r="A6">
        <v>5</v>
      </c>
      <c r="B6">
        <v>3</v>
      </c>
      <c r="C6">
        <v>2</v>
      </c>
      <c r="D6">
        <v>1</v>
      </c>
      <c r="E6" t="s">
        <v>84</v>
      </c>
      <c r="F6" t="s">
        <v>90</v>
      </c>
      <c r="G6">
        <v>1500000</v>
      </c>
      <c r="H6">
        <f t="shared" si="0"/>
        <v>1500000</v>
      </c>
    </row>
    <row r="7" spans="1:8" x14ac:dyDescent="0.35">
      <c r="A7">
        <v>6</v>
      </c>
      <c r="B7">
        <v>4</v>
      </c>
      <c r="C7">
        <v>3</v>
      </c>
      <c r="D7">
        <v>22</v>
      </c>
      <c r="E7" t="s">
        <v>86</v>
      </c>
      <c r="F7" t="s">
        <v>92</v>
      </c>
      <c r="G7">
        <v>100</v>
      </c>
      <c r="H7">
        <f t="shared" si="0"/>
        <v>2200</v>
      </c>
    </row>
    <row r="8" spans="1:8" x14ac:dyDescent="0.35">
      <c r="A8">
        <v>7</v>
      </c>
      <c r="B8">
        <v>5</v>
      </c>
      <c r="C8">
        <v>4</v>
      </c>
      <c r="D8">
        <v>5</v>
      </c>
      <c r="E8" t="s">
        <v>85</v>
      </c>
      <c r="F8" t="s">
        <v>91</v>
      </c>
      <c r="G8">
        <v>500</v>
      </c>
      <c r="H8">
        <f t="shared" si="0"/>
        <v>2500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72CB-936F-438C-94FD-CEA3E16B79B5}">
  <dimension ref="A1:G6"/>
  <sheetViews>
    <sheetView workbookViewId="0">
      <selection activeCell="D9" sqref="D9"/>
    </sheetView>
  </sheetViews>
  <sheetFormatPr defaultRowHeight="14.5" x14ac:dyDescent="0.35"/>
  <cols>
    <col min="1" max="1" width="7.36328125" bestFit="1" customWidth="1"/>
    <col min="2" max="2" width="8.81640625" bestFit="1" customWidth="1"/>
    <col min="3" max="3" width="18.7265625" bestFit="1" customWidth="1"/>
    <col min="4" max="4" width="18.7265625" customWidth="1"/>
    <col min="5" max="5" width="18.90625" bestFit="1" customWidth="1"/>
    <col min="6" max="6" width="9.81640625" bestFit="1" customWidth="1"/>
    <col min="7" max="7" width="28.1796875" bestFit="1" customWidth="1"/>
  </cols>
  <sheetData>
    <row r="1" spans="1:7" x14ac:dyDescent="0.35">
      <c r="A1" t="s">
        <v>43</v>
      </c>
      <c r="B1" t="s">
        <v>0</v>
      </c>
      <c r="C1" t="s">
        <v>44</v>
      </c>
      <c r="D1" t="s">
        <v>143</v>
      </c>
      <c r="E1" t="s">
        <v>2</v>
      </c>
      <c r="F1" t="s">
        <v>3</v>
      </c>
      <c r="G1" t="s">
        <v>4</v>
      </c>
    </row>
    <row r="2" spans="1:7" x14ac:dyDescent="0.35">
      <c r="A2">
        <v>1</v>
      </c>
      <c r="B2">
        <v>1</v>
      </c>
      <c r="C2" t="s">
        <v>45</v>
      </c>
      <c r="D2" t="s">
        <v>158</v>
      </c>
      <c r="E2" t="s">
        <v>51</v>
      </c>
      <c r="F2">
        <v>724379549</v>
      </c>
      <c r="G2" s="1" t="s">
        <v>56</v>
      </c>
    </row>
    <row r="3" spans="1:7" x14ac:dyDescent="0.35">
      <c r="A3">
        <v>2</v>
      </c>
      <c r="B3">
        <v>2</v>
      </c>
      <c r="C3" t="s">
        <v>46</v>
      </c>
      <c r="D3" t="s">
        <v>159</v>
      </c>
      <c r="E3" t="s">
        <v>52</v>
      </c>
      <c r="F3">
        <v>725449320</v>
      </c>
      <c r="G3" s="1" t="s">
        <v>57</v>
      </c>
    </row>
    <row r="4" spans="1:7" x14ac:dyDescent="0.35">
      <c r="A4">
        <v>3</v>
      </c>
      <c r="B4">
        <v>3</v>
      </c>
      <c r="C4" t="s">
        <v>47</v>
      </c>
      <c r="D4" t="s">
        <v>160</v>
      </c>
      <c r="E4" t="s">
        <v>53</v>
      </c>
      <c r="F4">
        <v>722674711</v>
      </c>
      <c r="G4" s="1" t="s">
        <v>58</v>
      </c>
    </row>
    <row r="5" spans="1:7" x14ac:dyDescent="0.35">
      <c r="A5">
        <v>4</v>
      </c>
      <c r="B5">
        <v>4</v>
      </c>
      <c r="C5" t="s">
        <v>48</v>
      </c>
      <c r="D5" t="s">
        <v>161</v>
      </c>
      <c r="E5" t="s">
        <v>54</v>
      </c>
      <c r="F5">
        <v>721679039</v>
      </c>
      <c r="G5" s="1" t="s">
        <v>59</v>
      </c>
    </row>
    <row r="6" spans="1:7" x14ac:dyDescent="0.35">
      <c r="A6">
        <v>5</v>
      </c>
      <c r="B6">
        <v>5</v>
      </c>
      <c r="C6" t="s">
        <v>49</v>
      </c>
      <c r="D6" t="s">
        <v>162</v>
      </c>
      <c r="E6" t="s">
        <v>55</v>
      </c>
      <c r="F6">
        <v>723692401</v>
      </c>
      <c r="G6" s="1" t="s">
        <v>60</v>
      </c>
    </row>
  </sheetData>
  <hyperlinks>
    <hyperlink ref="G3" r:id="rId1" display="jumuia_Mombasa@gmail.com" xr:uid="{2FEDC8E2-ACE6-465A-9049-534B3F1298C8}"/>
    <hyperlink ref="G4" r:id="rId2" display="jumuia_Nakuru@gmail.com" xr:uid="{3A165310-029B-4C41-A393-5E397074E79D}"/>
    <hyperlink ref="G5" r:id="rId3" display="jumuia_Kisumu@gmail.com" xr:uid="{3BE3580B-6A87-4DB2-A761-37101ADC721C}"/>
    <hyperlink ref="G6" r:id="rId4" display="jumuia_Eldoret@gmail.com" xr:uid="{0AB58EBB-5D7B-431D-9C97-7020651B4D2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1AA6-4E40-47F3-B02E-9BC6AC1A26AC}">
  <dimension ref="A1:E6"/>
  <sheetViews>
    <sheetView workbookViewId="0">
      <selection activeCell="A2" sqref="A2"/>
    </sheetView>
  </sheetViews>
  <sheetFormatPr defaultRowHeight="14.5" x14ac:dyDescent="0.35"/>
  <cols>
    <col min="1" max="1" width="9.54296875" bestFit="1" customWidth="1"/>
    <col min="2" max="2" width="7.7265625" bestFit="1" customWidth="1"/>
    <col min="3" max="3" width="10.453125" bestFit="1" customWidth="1"/>
    <col min="4" max="4" width="9.54296875" style="2" bestFit="1" customWidth="1"/>
    <col min="5" max="5" width="5.36328125" style="3" bestFit="1" customWidth="1"/>
  </cols>
  <sheetData>
    <row r="1" spans="1:5" x14ac:dyDescent="0.35">
      <c r="A1" t="s">
        <v>107</v>
      </c>
      <c r="B1" t="s">
        <v>96</v>
      </c>
      <c r="C1" t="s">
        <v>108</v>
      </c>
      <c r="D1" s="2" t="s">
        <v>109</v>
      </c>
      <c r="E1" s="3" t="s">
        <v>110</v>
      </c>
    </row>
    <row r="2" spans="1:5" x14ac:dyDescent="0.35">
      <c r="A2">
        <v>1</v>
      </c>
      <c r="B2">
        <v>1</v>
      </c>
      <c r="C2">
        <v>2</v>
      </c>
      <c r="D2" s="2">
        <v>46055</v>
      </c>
      <c r="E2" s="3">
        <v>11</v>
      </c>
    </row>
    <row r="3" spans="1:5" x14ac:dyDescent="0.35">
      <c r="A3">
        <v>2</v>
      </c>
      <c r="B3">
        <v>2</v>
      </c>
      <c r="C3">
        <v>2</v>
      </c>
      <c r="D3" s="2">
        <v>46058</v>
      </c>
      <c r="E3" s="3">
        <v>12</v>
      </c>
    </row>
    <row r="4" spans="1:5" x14ac:dyDescent="0.35">
      <c r="A4">
        <v>3</v>
      </c>
      <c r="B4">
        <v>3</v>
      </c>
      <c r="C4">
        <v>3</v>
      </c>
      <c r="D4" s="2">
        <v>46063</v>
      </c>
      <c r="E4" s="3">
        <v>14.28</v>
      </c>
    </row>
    <row r="5" spans="1:5" x14ac:dyDescent="0.35">
      <c r="A5">
        <v>4</v>
      </c>
      <c r="B5">
        <v>4</v>
      </c>
      <c r="C5">
        <v>3</v>
      </c>
      <c r="D5" s="2">
        <v>46064</v>
      </c>
      <c r="E5" s="3">
        <v>16.100000000000001</v>
      </c>
    </row>
    <row r="6" spans="1:5" x14ac:dyDescent="0.35">
      <c r="A6">
        <v>5</v>
      </c>
      <c r="B6">
        <v>5</v>
      </c>
      <c r="C6">
        <v>4</v>
      </c>
      <c r="D6" s="2">
        <v>46065</v>
      </c>
      <c r="E6" s="3">
        <v>17.54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B834-DE13-44F2-889C-EFAA10458FF2}">
  <dimension ref="A1:G6"/>
  <sheetViews>
    <sheetView workbookViewId="0">
      <selection activeCell="D1" sqref="D1:D1048576"/>
    </sheetView>
  </sheetViews>
  <sheetFormatPr defaultRowHeight="14.5" x14ac:dyDescent="0.35"/>
  <cols>
    <col min="1" max="1" width="12" bestFit="1" customWidth="1"/>
    <col min="2" max="2" width="12" customWidth="1"/>
    <col min="3" max="3" width="18.7265625" bestFit="1" customWidth="1"/>
    <col min="4" max="4" width="18.7265625" customWidth="1"/>
    <col min="5" max="5" width="18.90625" bestFit="1" customWidth="1"/>
    <col min="6" max="6" width="9.81640625" bestFit="1" customWidth="1"/>
    <col min="7" max="7" width="28.1796875" bestFit="1" customWidth="1"/>
  </cols>
  <sheetData>
    <row r="1" spans="1:7" x14ac:dyDescent="0.35">
      <c r="A1" t="s">
        <v>113</v>
      </c>
      <c r="B1" t="s">
        <v>163</v>
      </c>
      <c r="C1" t="s">
        <v>1</v>
      </c>
      <c r="D1" t="s">
        <v>143</v>
      </c>
      <c r="E1" t="s">
        <v>2</v>
      </c>
      <c r="F1" t="s">
        <v>3</v>
      </c>
      <c r="G1" t="s">
        <v>4</v>
      </c>
    </row>
    <row r="2" spans="1:7" x14ac:dyDescent="0.35">
      <c r="A2">
        <v>1</v>
      </c>
      <c r="C2" t="s">
        <v>114</v>
      </c>
      <c r="D2" t="s">
        <v>164</v>
      </c>
      <c r="E2" t="s">
        <v>119</v>
      </c>
      <c r="F2">
        <v>724379549</v>
      </c>
      <c r="G2" s="1" t="s">
        <v>124</v>
      </c>
    </row>
    <row r="3" spans="1:7" x14ac:dyDescent="0.35">
      <c r="A3">
        <v>2</v>
      </c>
      <c r="C3" t="s">
        <v>115</v>
      </c>
      <c r="D3" t="s">
        <v>165</v>
      </c>
      <c r="E3" t="s">
        <v>120</v>
      </c>
      <c r="F3">
        <v>725449320</v>
      </c>
      <c r="G3" s="1" t="s">
        <v>125</v>
      </c>
    </row>
    <row r="4" spans="1:7" x14ac:dyDescent="0.35">
      <c r="A4">
        <v>3</v>
      </c>
      <c r="C4" t="s">
        <v>116</v>
      </c>
      <c r="D4" t="s">
        <v>166</v>
      </c>
      <c r="E4" t="s">
        <v>121</v>
      </c>
      <c r="F4">
        <v>722674711</v>
      </c>
      <c r="G4" s="1" t="s">
        <v>126</v>
      </c>
    </row>
    <row r="5" spans="1:7" x14ac:dyDescent="0.35">
      <c r="A5">
        <v>4</v>
      </c>
      <c r="C5" t="s">
        <v>117</v>
      </c>
      <c r="D5" t="s">
        <v>167</v>
      </c>
      <c r="E5" t="s">
        <v>122</v>
      </c>
      <c r="F5">
        <v>721679039</v>
      </c>
      <c r="G5" s="1" t="s">
        <v>127</v>
      </c>
    </row>
    <row r="6" spans="1:7" x14ac:dyDescent="0.35">
      <c r="A6">
        <v>5</v>
      </c>
      <c r="C6" t="s">
        <v>118</v>
      </c>
      <c r="E6" t="s">
        <v>123</v>
      </c>
      <c r="F6">
        <v>723692401</v>
      </c>
      <c r="G6" s="1" t="s">
        <v>128</v>
      </c>
    </row>
  </sheetData>
  <hyperlinks>
    <hyperlink ref="G3" r:id="rId1" xr:uid="{89E7C9B3-AD66-4D87-B2B3-05EEFB9223E7}"/>
    <hyperlink ref="G4" r:id="rId2" xr:uid="{BC43AB19-0808-4380-8565-BEAFDA35B8F2}"/>
    <hyperlink ref="G5" r:id="rId3" xr:uid="{2F2BC2AA-23D2-440C-9631-E011FA37E642}"/>
    <hyperlink ref="G6" r:id="rId4" xr:uid="{D2B7F8ED-89ED-4F06-8C5B-D1C680C868C9}"/>
    <hyperlink ref="G2" r:id="rId5" xr:uid="{8159B965-3498-4418-9E1E-A953FFDDCA1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069D-3FC2-4040-A655-D0695A0B64AF}">
  <dimension ref="A1:D6"/>
  <sheetViews>
    <sheetView workbookViewId="0">
      <selection activeCell="A2" sqref="A2"/>
    </sheetView>
  </sheetViews>
  <sheetFormatPr defaultRowHeight="14.5" x14ac:dyDescent="0.35"/>
  <cols>
    <col min="1" max="1" width="10.1796875" bestFit="1" customWidth="1"/>
    <col min="2" max="2" width="7.7265625" bestFit="1" customWidth="1"/>
    <col min="3" max="3" width="15.54296875" bestFit="1" customWidth="1"/>
    <col min="4" max="4" width="7.08984375" bestFit="1" customWidth="1"/>
  </cols>
  <sheetData>
    <row r="1" spans="1:4" x14ac:dyDescent="0.35">
      <c r="A1" t="s">
        <v>168</v>
      </c>
      <c r="B1" t="s">
        <v>169</v>
      </c>
      <c r="C1" t="s">
        <v>170</v>
      </c>
      <c r="D1" t="s">
        <v>155</v>
      </c>
    </row>
    <row r="2" spans="1:4" x14ac:dyDescent="0.35">
      <c r="A2">
        <v>1</v>
      </c>
      <c r="B2">
        <v>1</v>
      </c>
      <c r="C2" t="s">
        <v>174</v>
      </c>
      <c r="D2" t="s">
        <v>177</v>
      </c>
    </row>
    <row r="3" spans="1:4" x14ac:dyDescent="0.35">
      <c r="A3">
        <v>2</v>
      </c>
      <c r="B3">
        <v>2</v>
      </c>
      <c r="C3" t="s">
        <v>175</v>
      </c>
      <c r="D3" t="s">
        <v>177</v>
      </c>
    </row>
    <row r="4" spans="1:4" x14ac:dyDescent="0.35">
      <c r="A4">
        <v>3</v>
      </c>
      <c r="B4">
        <v>3</v>
      </c>
      <c r="C4" t="s">
        <v>176</v>
      </c>
      <c r="D4" t="s">
        <v>177</v>
      </c>
    </row>
    <row r="5" spans="1:4" x14ac:dyDescent="0.35">
      <c r="A5">
        <v>4</v>
      </c>
      <c r="B5">
        <v>4</v>
      </c>
      <c r="C5" t="s">
        <v>176</v>
      </c>
      <c r="D5" t="s">
        <v>177</v>
      </c>
    </row>
    <row r="6" spans="1:4" x14ac:dyDescent="0.35">
      <c r="A6">
        <v>5</v>
      </c>
      <c r="B6">
        <v>5</v>
      </c>
      <c r="C6" t="s">
        <v>174</v>
      </c>
      <c r="D6" t="s">
        <v>177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120F-ABD3-403D-9656-2BE6EF44D0CE}">
  <dimension ref="A1:C6"/>
  <sheetViews>
    <sheetView workbookViewId="0">
      <selection activeCell="D18" sqref="D18"/>
    </sheetView>
  </sheetViews>
  <sheetFormatPr defaultRowHeight="14.5" x14ac:dyDescent="0.35"/>
  <cols>
    <col min="1" max="1" width="11.08984375" bestFit="1" customWidth="1"/>
    <col min="2" max="2" width="11.08984375" customWidth="1"/>
    <col min="3" max="3" width="19.90625" bestFit="1" customWidth="1"/>
  </cols>
  <sheetData>
    <row r="1" spans="1:3" x14ac:dyDescent="0.35">
      <c r="A1" t="s">
        <v>95</v>
      </c>
      <c r="B1" t="s">
        <v>130</v>
      </c>
      <c r="C1" t="s">
        <v>2</v>
      </c>
    </row>
    <row r="2" spans="1:3" x14ac:dyDescent="0.35">
      <c r="A2">
        <v>1</v>
      </c>
      <c r="B2">
        <v>1</v>
      </c>
      <c r="C2" t="s">
        <v>99</v>
      </c>
    </row>
    <row r="3" spans="1:3" x14ac:dyDescent="0.35">
      <c r="A3">
        <v>2</v>
      </c>
      <c r="B3">
        <v>2</v>
      </c>
      <c r="C3" t="s">
        <v>100</v>
      </c>
    </row>
    <row r="4" spans="1:3" x14ac:dyDescent="0.35">
      <c r="A4">
        <v>3</v>
      </c>
      <c r="B4">
        <v>3</v>
      </c>
      <c r="C4" t="s">
        <v>101</v>
      </c>
    </row>
    <row r="5" spans="1:3" x14ac:dyDescent="0.35">
      <c r="A5">
        <v>4</v>
      </c>
      <c r="B5">
        <v>6</v>
      </c>
      <c r="C5" t="s">
        <v>102</v>
      </c>
    </row>
    <row r="6" spans="1:3" x14ac:dyDescent="0.35">
      <c r="A6">
        <v>5</v>
      </c>
      <c r="B6">
        <v>7</v>
      </c>
      <c r="C6" t="s">
        <v>103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8BBB-25FE-4C52-9DA4-37B0D1D874FA}">
  <dimension ref="A1:C6"/>
  <sheetViews>
    <sheetView workbookViewId="0"/>
  </sheetViews>
  <sheetFormatPr defaultRowHeight="14.5" x14ac:dyDescent="0.35"/>
  <cols>
    <col min="1" max="1" width="10.36328125" bestFit="1" customWidth="1"/>
    <col min="2" max="2" width="13.81640625" bestFit="1" customWidth="1"/>
    <col min="3" max="3" width="21.36328125" bestFit="1" customWidth="1"/>
  </cols>
  <sheetData>
    <row r="1" spans="1:3" x14ac:dyDescent="0.35">
      <c r="A1" t="s">
        <v>77</v>
      </c>
      <c r="B1" t="s">
        <v>171</v>
      </c>
      <c r="C1" t="s">
        <v>172</v>
      </c>
    </row>
    <row r="2" spans="1:3" x14ac:dyDescent="0.35">
      <c r="A2">
        <v>1</v>
      </c>
      <c r="B2" t="s">
        <v>78</v>
      </c>
      <c r="C2" t="s">
        <v>178</v>
      </c>
    </row>
    <row r="3" spans="1:3" x14ac:dyDescent="0.35">
      <c r="A3">
        <v>2</v>
      </c>
      <c r="B3" t="s">
        <v>79</v>
      </c>
      <c r="C3" t="s">
        <v>179</v>
      </c>
    </row>
    <row r="4" spans="1:3" x14ac:dyDescent="0.35">
      <c r="A4">
        <v>3</v>
      </c>
      <c r="B4" t="s">
        <v>80</v>
      </c>
      <c r="C4" t="s">
        <v>180</v>
      </c>
    </row>
    <row r="5" spans="1:3" x14ac:dyDescent="0.35">
      <c r="A5">
        <v>4</v>
      </c>
      <c r="B5" t="s">
        <v>81</v>
      </c>
      <c r="C5" t="s">
        <v>181</v>
      </c>
    </row>
    <row r="6" spans="1:3" x14ac:dyDescent="0.35">
      <c r="A6">
        <v>5</v>
      </c>
      <c r="B6" t="s">
        <v>82</v>
      </c>
      <c r="C6" t="s">
        <v>182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BA34-15A6-49E3-B43E-557D278479A2}">
  <dimension ref="A1:K6"/>
  <sheetViews>
    <sheetView workbookViewId="0">
      <selection activeCell="A2" sqref="A2"/>
    </sheetView>
  </sheetViews>
  <sheetFormatPr defaultRowHeight="14.5" x14ac:dyDescent="0.35"/>
  <cols>
    <col min="1" max="1" width="10.7265625" bestFit="1" customWidth="1"/>
    <col min="2" max="2" width="8.81640625" bestFit="1" customWidth="1"/>
    <col min="3" max="3" width="9.81640625" bestFit="1" customWidth="1"/>
    <col min="4" max="4" width="9.54296875" style="2" bestFit="1" customWidth="1"/>
    <col min="5" max="5" width="5.36328125" style="3" bestFit="1" customWidth="1"/>
  </cols>
  <sheetData>
    <row r="1" spans="1:11" x14ac:dyDescent="0.35">
      <c r="A1" t="s">
        <v>111</v>
      </c>
      <c r="B1" t="s">
        <v>169</v>
      </c>
      <c r="C1" t="s">
        <v>43</v>
      </c>
      <c r="D1" s="2" t="s">
        <v>109</v>
      </c>
      <c r="E1" s="3" t="s">
        <v>110</v>
      </c>
      <c r="K1" s="2"/>
    </row>
    <row r="2" spans="1:11" x14ac:dyDescent="0.35">
      <c r="A2">
        <v>1</v>
      </c>
      <c r="B2">
        <v>1</v>
      </c>
      <c r="C2">
        <v>4</v>
      </c>
      <c r="D2" s="2">
        <v>46055</v>
      </c>
      <c r="E2" s="3">
        <v>11</v>
      </c>
      <c r="K2" s="2"/>
    </row>
    <row r="3" spans="1:11" x14ac:dyDescent="0.35">
      <c r="A3">
        <v>2</v>
      </c>
      <c r="B3">
        <v>2</v>
      </c>
      <c r="C3">
        <v>2</v>
      </c>
      <c r="D3" s="2">
        <v>46058</v>
      </c>
      <c r="E3" s="3">
        <v>12</v>
      </c>
      <c r="K3" s="2"/>
    </row>
    <row r="4" spans="1:11" x14ac:dyDescent="0.35">
      <c r="A4">
        <v>3</v>
      </c>
      <c r="B4">
        <v>3</v>
      </c>
      <c r="C4">
        <v>1</v>
      </c>
      <c r="D4" s="2">
        <v>46063</v>
      </c>
      <c r="E4" s="3">
        <v>14.28</v>
      </c>
      <c r="K4" s="2"/>
    </row>
    <row r="5" spans="1:11" x14ac:dyDescent="0.35">
      <c r="A5">
        <v>4</v>
      </c>
      <c r="B5">
        <v>4</v>
      </c>
      <c r="C5">
        <v>3</v>
      </c>
      <c r="D5" s="2">
        <v>46064</v>
      </c>
      <c r="E5" s="3">
        <v>16.100000000000001</v>
      </c>
      <c r="K5" s="2"/>
    </row>
    <row r="6" spans="1:11" x14ac:dyDescent="0.35">
      <c r="A6">
        <v>5</v>
      </c>
      <c r="B6">
        <v>5</v>
      </c>
      <c r="C6">
        <v>2</v>
      </c>
      <c r="D6" s="2">
        <v>46065</v>
      </c>
      <c r="E6" s="3">
        <v>17.54</v>
      </c>
      <c r="K6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0F3A-FBED-4534-9B70-EF795C6CBF85}">
  <dimension ref="A1:F6"/>
  <sheetViews>
    <sheetView tabSelected="1" workbookViewId="0"/>
  </sheetViews>
  <sheetFormatPr defaultRowHeight="14.5" x14ac:dyDescent="0.35"/>
  <cols>
    <col min="1" max="1" width="9.81640625" bestFit="1" customWidth="1"/>
    <col min="2" max="2" width="10.36328125" bestFit="1" customWidth="1"/>
    <col min="3" max="3" width="8.81640625" bestFit="1" customWidth="1"/>
    <col min="4" max="4" width="12.90625" bestFit="1" customWidth="1"/>
    <col min="5" max="5" width="10.1796875" bestFit="1" customWidth="1"/>
    <col min="6" max="6" width="7.81640625" bestFit="1" customWidth="1"/>
  </cols>
  <sheetData>
    <row r="1" spans="1:6" x14ac:dyDescent="0.35">
      <c r="A1" t="s">
        <v>76</v>
      </c>
      <c r="B1" t="s">
        <v>77</v>
      </c>
      <c r="C1" t="s">
        <v>50</v>
      </c>
      <c r="D1" t="s">
        <v>173</v>
      </c>
      <c r="E1" t="s">
        <v>172</v>
      </c>
      <c r="F1" t="s">
        <v>94</v>
      </c>
    </row>
    <row r="2" spans="1:6" x14ac:dyDescent="0.35">
      <c r="A2">
        <v>1</v>
      </c>
      <c r="B2">
        <v>3</v>
      </c>
      <c r="C2">
        <v>3</v>
      </c>
      <c r="D2" t="s">
        <v>83</v>
      </c>
      <c r="E2" t="s">
        <v>89</v>
      </c>
      <c r="F2">
        <v>1500000</v>
      </c>
    </row>
    <row r="3" spans="1:6" x14ac:dyDescent="0.35">
      <c r="A3">
        <v>2</v>
      </c>
      <c r="B3">
        <v>3</v>
      </c>
      <c r="C3">
        <v>3</v>
      </c>
      <c r="D3" t="s">
        <v>84</v>
      </c>
      <c r="E3" t="s">
        <v>90</v>
      </c>
      <c r="F3">
        <v>1000000</v>
      </c>
    </row>
    <row r="4" spans="1:6" x14ac:dyDescent="0.35">
      <c r="A4">
        <v>3</v>
      </c>
      <c r="B4">
        <v>4</v>
      </c>
      <c r="C4">
        <v>2</v>
      </c>
      <c r="D4" t="s">
        <v>86</v>
      </c>
      <c r="E4" t="s">
        <v>92</v>
      </c>
      <c r="F4">
        <v>50</v>
      </c>
    </row>
    <row r="5" spans="1:6" x14ac:dyDescent="0.35">
      <c r="A5">
        <v>4</v>
      </c>
      <c r="B5">
        <v>4</v>
      </c>
      <c r="C5">
        <v>2</v>
      </c>
      <c r="D5" t="s">
        <v>85</v>
      </c>
      <c r="E5" t="s">
        <v>91</v>
      </c>
      <c r="F5">
        <v>250</v>
      </c>
    </row>
    <row r="6" spans="1:6" x14ac:dyDescent="0.35">
      <c r="A6">
        <v>5</v>
      </c>
      <c r="B6">
        <v>5</v>
      </c>
      <c r="C6">
        <v>4</v>
      </c>
      <c r="D6" t="s">
        <v>87</v>
      </c>
      <c r="E6" t="s">
        <v>93</v>
      </c>
      <c r="F6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Branches</vt:lpstr>
      <vt:lpstr>Departments</vt:lpstr>
      <vt:lpstr>Employees</vt:lpstr>
      <vt:lpstr>Vendors</vt:lpstr>
      <vt:lpstr>Orders</vt:lpstr>
      <vt:lpstr>Orders_Details</vt:lpstr>
      <vt:lpstr>Stores</vt:lpstr>
      <vt:lpstr>Deliveries</vt:lpstr>
      <vt:lpstr>PU-Stations</vt:lpstr>
      <vt:lpstr>Payments</vt:lpstr>
      <vt:lpstr>Customers</vt:lpstr>
      <vt:lpstr>Categories</vt:lpstr>
      <vt:lpstr>Shipment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Shem Gichimu</dc:creator>
  <cp:lastModifiedBy>Shem Gichimu</cp:lastModifiedBy>
  <dcterms:created xsi:type="dcterms:W3CDTF">2026-02-13T13:26:14Z</dcterms:created>
  <dcterms:modified xsi:type="dcterms:W3CDTF">2026-02-16T13:25:30Z</dcterms:modified>
</cp:coreProperties>
</file>